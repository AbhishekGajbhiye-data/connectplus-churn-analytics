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A0E0435-39CD-44F5-9F70-77C67D5AFB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concili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6" i="1" l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D41" i="1" s="1"/>
  <c r="H5" i="1"/>
  <c r="D39" i="1" l="1"/>
  <c r="D40" i="1"/>
</calcChain>
</file>

<file path=xl/sharedStrings.xml><?xml version="1.0" encoding="utf-8"?>
<sst xmlns="http://schemas.openxmlformats.org/spreadsheetml/2006/main" count="144" uniqueCount="90">
  <si>
    <t>ConnectPlus - Power BI vs SQL reconciliation</t>
  </si>
  <si>
    <t>Tolerance</t>
  </si>
  <si>
    <t>Allowed relative difference; covers rounding between SQL DECIMAL and DAX.</t>
  </si>
  <si>
    <t>kpi_id</t>
  </si>
  <si>
    <t>Page</t>
  </si>
  <si>
    <t>KPI</t>
  </si>
  <si>
    <t>Power BI measure</t>
  </si>
  <si>
    <t>Filter context</t>
  </si>
  <si>
    <t>SQL value (paste)</t>
  </si>
  <si>
    <t>Power BI value (type)</t>
  </si>
  <si>
    <t>Difference</t>
  </si>
  <si>
    <t>Status</t>
  </si>
  <si>
    <t>1 Overview</t>
  </si>
  <si>
    <t>Active customers (latest month)</t>
  </si>
  <si>
    <t>Active Customers (Latest Month)</t>
  </si>
  <si>
    <t>Slicers cleared</t>
  </si>
  <si>
    <t>Churn rate (latest month)</t>
  </si>
  <si>
    <t>Churn Rate % (Latest Month)</t>
  </si>
  <si>
    <t>ARPU (latest month)</t>
  </si>
  <si>
    <t>ARPU (Latest Month)</t>
  </si>
  <si>
    <t>Net revenue retention (latest month)</t>
  </si>
  <si>
    <t>NRR %</t>
  </si>
  <si>
    <t>Churned customers (all periods)</t>
  </si>
  <si>
    <t>Churned Customers</t>
  </si>
  <si>
    <t>Churn rate (all periods)</t>
  </si>
  <si>
    <t>Churn Rate %</t>
  </si>
  <si>
    <t>Annualized revenue lost (all periods)</t>
  </si>
  <si>
    <t>Annualized Revenue Lost</t>
  </si>
  <si>
    <t>2 Segments</t>
  </si>
  <si>
    <t>Churn rate: Month-to-Month contract</t>
  </si>
  <si>
    <t>Churn Rate % (bar: contract type)</t>
  </si>
  <si>
    <t>Contract = Month-to-Month</t>
  </si>
  <si>
    <t>Churn rate: Partner Dealer channel</t>
  </si>
  <si>
    <t>Churn Rate % (bar: channel)</t>
  </si>
  <si>
    <t>Channel = Partner Dealer</t>
  </si>
  <si>
    <t>Early-life churn rate</t>
  </si>
  <si>
    <t>Early-Life Churn Rate %</t>
  </si>
  <si>
    <t>Average tenure at churn (months)</t>
  </si>
  <si>
    <t>Avg Tenure at Churn (Months)</t>
  </si>
  <si>
    <t>3 Drivers</t>
  </si>
  <si>
    <t>Support tickets</t>
  </si>
  <si>
    <t>Tickets</t>
  </si>
  <si>
    <t>Unresolved ticket rate</t>
  </si>
  <si>
    <t>Unresolved Rate %</t>
  </si>
  <si>
    <t>Average CSAT</t>
  </si>
  <si>
    <t>Avg CSAT</t>
  </si>
  <si>
    <t>Average resolution hours</t>
  </si>
  <si>
    <t>Avg Resolution Hours</t>
  </si>
  <si>
    <t>Network outage hours</t>
  </si>
  <si>
    <t>Outage Hours</t>
  </si>
  <si>
    <t>Involuntary churn rate</t>
  </si>
  <si>
    <t>Involuntary Churn Rate %</t>
  </si>
  <si>
    <t>Lift: Contract ending / ended 1-2 months</t>
  </si>
  <si>
    <t>churn_drivers[lift]</t>
  </si>
  <si>
    <t>None (pre-calculated)</t>
  </si>
  <si>
    <t>Lift: Usage down 25%+ (previous month)</t>
  </si>
  <si>
    <t>4 Risk</t>
  </si>
  <si>
    <t>Active customers (current)</t>
  </si>
  <si>
    <t>Active Customers (Current)</t>
  </si>
  <si>
    <t>High-risk customers</t>
  </si>
  <si>
    <t>High-Risk Customers</t>
  </si>
  <si>
    <t>Priority 1 customers</t>
  </si>
  <si>
    <t>Priority 1 Customers</t>
  </si>
  <si>
    <t>Expected churners next month</t>
  </si>
  <si>
    <t>Expected Churners Next Month</t>
  </si>
  <si>
    <t>Revenue at risk (annualized)</t>
  </si>
  <si>
    <t>Revenue at Risk (Annualized)</t>
  </si>
  <si>
    <t>Next-month churn rate: High band</t>
  </si>
  <si>
    <t>Band Next-Month Churn Rate</t>
  </si>
  <si>
    <t>High band (backtest chart)</t>
  </si>
  <si>
    <t>5 Offers</t>
  </si>
  <si>
    <t>Offers made</t>
  </si>
  <si>
    <t>Offers Made</t>
  </si>
  <si>
    <t>Offer acceptance rate</t>
  </si>
  <si>
    <t>Offer Acceptance %</t>
  </si>
  <si>
    <t>Save rate</t>
  </si>
  <si>
    <t>Save Rate %</t>
  </si>
  <si>
    <t>Cost per saved customer</t>
  </si>
  <si>
    <t>Cost per Saved Customer</t>
  </si>
  <si>
    <t>Churn within 90 days if declined</t>
  </si>
  <si>
    <t>Churn within 90d if Declined %</t>
  </si>
  <si>
    <t>Customers saved (what-if at 20%)</t>
  </si>
  <si>
    <t>Customers Saved (What-If)</t>
  </si>
  <si>
    <t>Slider = 20%</t>
  </si>
  <si>
    <t>Net benefit 12 months (what-if at 20%)</t>
  </si>
  <si>
    <t>Net Benefit 12M</t>
  </si>
  <si>
    <t>Summary</t>
  </si>
  <si>
    <t>Matched</t>
  </si>
  <si>
    <t>To check</t>
  </si>
  <si>
    <t>Not checked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</si>
</sst>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"/>
    <numFmt numFmtId="166" formatCode="#,##0.0000;\-#,##0.0000;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1E36"/>
        <bgColor rgb="FF0033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E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/>
    <xf numFmtId="0" fontId="5" fillId="3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5" fontId="3" fillId="2" borderId="1" xfId="0" applyNumberFormat="1" applyFont="1" applyFill="1" applyBorder="1"/>
    <xf numFmtId="166" fontId="6" fillId="0" borderId="1" xfId="0" applyNumberFormat="1" applyFont="1" applyBorder="1"/>
    <xf numFmtId="0" fontId="2" fillId="0" borderId="1" xfId="0" applyFont="1" applyBorder="1"/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color rgb="FFC2410C"/>
      </font>
      <fill>
        <patternFill>
          <bgColor rgb="FFFFEDD5"/>
        </patternFill>
      </fill>
    </dxf>
    <dxf>
      <font>
        <b/>
        <color rgb="FF15803D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DD5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1E36"/>
      <rgbColor rgb="FF339966"/>
      <rgbColor rgb="FF003300"/>
      <rgbColor rgb="FF333300"/>
      <rgbColor rgb="FFC241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15" sqref="D15"/>
    </sheetView>
  </sheetViews>
  <sheetFormatPr defaultColWidth="8.7109375" defaultRowHeight="15" x14ac:dyDescent="0.25"/>
  <cols>
    <col min="1" max="1" width="7" customWidth="1"/>
    <col min="2" max="2" width="17" customWidth="1"/>
    <col min="3" max="3" width="64.28515625" bestFit="1" customWidth="1"/>
    <col min="4" max="4" width="32" customWidth="1"/>
    <col min="5" max="5" width="24" customWidth="1"/>
    <col min="6" max="7" width="16" customWidth="1"/>
    <col min="8" max="9" width="12" customWidth="1"/>
  </cols>
  <sheetData>
    <row r="1" spans="1:9" ht="18" x14ac:dyDescent="0.25">
      <c r="A1" s="11" t="s">
        <v>0</v>
      </c>
      <c r="B1" s="11"/>
      <c r="C1" s="11"/>
    </row>
    <row r="2" spans="1:9" x14ac:dyDescent="0.25">
      <c r="A2" s="1" t="s">
        <v>1</v>
      </c>
      <c r="B2" s="2">
        <v>5.0000000000000001E-3</v>
      </c>
      <c r="C2" s="3" t="s">
        <v>2</v>
      </c>
    </row>
    <row r="4" spans="1:9" ht="25.5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s="5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6"/>
      <c r="G5" s="6"/>
      <c r="H5" s="7" t="str">
        <f t="shared" ref="H5:H36" si="0">IF(OR(F5="",G5=""),"",G5-F5)</f>
        <v/>
      </c>
      <c r="I5" s="8" t="str">
        <f t="shared" ref="I5:I36" si="1">IF(OR(F5="",G5=""),"Not checked",IF(ABS(G5-F5)&lt;=MAX(ABS(F5),0.000000001)*$B$2,"Match","Check"))</f>
        <v>Not checked</v>
      </c>
    </row>
    <row r="6" spans="1:9" x14ac:dyDescent="0.25">
      <c r="A6" s="5">
        <v>2</v>
      </c>
      <c r="B6" s="5" t="s">
        <v>12</v>
      </c>
      <c r="C6" s="5" t="s">
        <v>16</v>
      </c>
      <c r="D6" s="5" t="s">
        <v>17</v>
      </c>
      <c r="E6" s="5" t="s">
        <v>15</v>
      </c>
      <c r="F6" s="6"/>
      <c r="G6" s="6"/>
      <c r="H6" s="7" t="str">
        <f t="shared" si="0"/>
        <v/>
      </c>
      <c r="I6" s="8" t="str">
        <f t="shared" si="1"/>
        <v>Not checked</v>
      </c>
    </row>
    <row r="7" spans="1:9" x14ac:dyDescent="0.25">
      <c r="A7" s="5">
        <v>3</v>
      </c>
      <c r="B7" s="5" t="s">
        <v>12</v>
      </c>
      <c r="C7" s="5" t="s">
        <v>18</v>
      </c>
      <c r="D7" s="5" t="s">
        <v>19</v>
      </c>
      <c r="E7" s="5" t="s">
        <v>15</v>
      </c>
      <c r="F7" s="6"/>
      <c r="G7" s="6"/>
      <c r="H7" s="7" t="str">
        <f t="shared" si="0"/>
        <v/>
      </c>
      <c r="I7" s="8" t="str">
        <f t="shared" si="1"/>
        <v>Not checked</v>
      </c>
    </row>
    <row r="8" spans="1:9" x14ac:dyDescent="0.25">
      <c r="A8" s="5">
        <v>4</v>
      </c>
      <c r="B8" s="5" t="s">
        <v>12</v>
      </c>
      <c r="C8" s="5" t="s">
        <v>20</v>
      </c>
      <c r="D8" s="5" t="s">
        <v>21</v>
      </c>
      <c r="E8" s="5" t="s">
        <v>15</v>
      </c>
      <c r="F8" s="6"/>
      <c r="G8" s="6"/>
      <c r="H8" s="7" t="str">
        <f t="shared" si="0"/>
        <v/>
      </c>
      <c r="I8" s="8" t="str">
        <f t="shared" si="1"/>
        <v>Not checked</v>
      </c>
    </row>
    <row r="9" spans="1:9" x14ac:dyDescent="0.25">
      <c r="A9" s="5">
        <v>5</v>
      </c>
      <c r="B9" s="5" t="s">
        <v>12</v>
      </c>
      <c r="C9" s="5" t="s">
        <v>22</v>
      </c>
      <c r="D9" s="5" t="s">
        <v>23</v>
      </c>
      <c r="E9" s="5" t="s">
        <v>15</v>
      </c>
      <c r="F9" s="6"/>
      <c r="G9" s="6"/>
      <c r="H9" s="7" t="str">
        <f t="shared" si="0"/>
        <v/>
      </c>
      <c r="I9" s="8" t="str">
        <f t="shared" si="1"/>
        <v>Not checked</v>
      </c>
    </row>
    <row r="10" spans="1:9" x14ac:dyDescent="0.25">
      <c r="A10" s="5">
        <v>6</v>
      </c>
      <c r="B10" s="5" t="s">
        <v>12</v>
      </c>
      <c r="C10" s="5" t="s">
        <v>24</v>
      </c>
      <c r="D10" s="5" t="s">
        <v>25</v>
      </c>
      <c r="E10" s="5" t="s">
        <v>15</v>
      </c>
      <c r="F10" s="6"/>
      <c r="G10" s="6"/>
      <c r="H10" s="7" t="str">
        <f t="shared" si="0"/>
        <v/>
      </c>
      <c r="I10" s="8" t="str">
        <f t="shared" si="1"/>
        <v>Not checked</v>
      </c>
    </row>
    <row r="11" spans="1:9" x14ac:dyDescent="0.25">
      <c r="A11" s="5">
        <v>7</v>
      </c>
      <c r="B11" s="5" t="s">
        <v>12</v>
      </c>
      <c r="C11" s="5" t="s">
        <v>26</v>
      </c>
      <c r="D11" s="5" t="s">
        <v>27</v>
      </c>
      <c r="E11" s="5" t="s">
        <v>15</v>
      </c>
      <c r="F11" s="6"/>
      <c r="G11" s="6"/>
      <c r="H11" s="7" t="str">
        <f t="shared" si="0"/>
        <v/>
      </c>
      <c r="I11" s="8" t="str">
        <f t="shared" si="1"/>
        <v>Not checked</v>
      </c>
    </row>
    <row r="12" spans="1:9" x14ac:dyDescent="0.25">
      <c r="A12" s="5">
        <v>8</v>
      </c>
      <c r="B12" s="5" t="s">
        <v>28</v>
      </c>
      <c r="C12" s="5" t="s">
        <v>29</v>
      </c>
      <c r="D12" s="5" t="s">
        <v>30</v>
      </c>
      <c r="E12" s="5" t="s">
        <v>31</v>
      </c>
      <c r="F12" s="6"/>
      <c r="G12" s="6"/>
      <c r="H12" s="7" t="str">
        <f t="shared" si="0"/>
        <v/>
      </c>
      <c r="I12" s="8" t="str">
        <f t="shared" si="1"/>
        <v>Not checked</v>
      </c>
    </row>
    <row r="13" spans="1:9" x14ac:dyDescent="0.25">
      <c r="A13" s="5">
        <v>9</v>
      </c>
      <c r="B13" s="5" t="s">
        <v>28</v>
      </c>
      <c r="C13" s="5" t="s">
        <v>32</v>
      </c>
      <c r="D13" s="5" t="s">
        <v>33</v>
      </c>
      <c r="E13" s="5" t="s">
        <v>34</v>
      </c>
      <c r="F13" s="6"/>
      <c r="G13" s="6"/>
      <c r="H13" s="7" t="str">
        <f t="shared" si="0"/>
        <v/>
      </c>
      <c r="I13" s="8" t="str">
        <f t="shared" si="1"/>
        <v>Not checked</v>
      </c>
    </row>
    <row r="14" spans="1:9" x14ac:dyDescent="0.25">
      <c r="A14" s="5">
        <v>10</v>
      </c>
      <c r="B14" s="5" t="s">
        <v>28</v>
      </c>
      <c r="C14" s="5" t="s">
        <v>35</v>
      </c>
      <c r="D14" s="5" t="s">
        <v>36</v>
      </c>
      <c r="E14" s="5" t="s">
        <v>15</v>
      </c>
      <c r="F14" s="6"/>
      <c r="G14" s="6"/>
      <c r="H14" s="7" t="str">
        <f t="shared" si="0"/>
        <v/>
      </c>
      <c r="I14" s="8" t="str">
        <f t="shared" si="1"/>
        <v>Not checked</v>
      </c>
    </row>
    <row r="15" spans="1:9" x14ac:dyDescent="0.25">
      <c r="A15" s="5">
        <v>11</v>
      </c>
      <c r="B15" s="5" t="s">
        <v>28</v>
      </c>
      <c r="C15" s="5" t="s">
        <v>37</v>
      </c>
      <c r="D15" s="5" t="s">
        <v>38</v>
      </c>
      <c r="E15" s="5" t="s">
        <v>15</v>
      </c>
      <c r="F15" s="6"/>
      <c r="G15" s="6"/>
      <c r="H15" s="7" t="str">
        <f t="shared" si="0"/>
        <v/>
      </c>
      <c r="I15" s="8" t="str">
        <f t="shared" si="1"/>
        <v>Not checked</v>
      </c>
    </row>
    <row r="16" spans="1:9" x14ac:dyDescent="0.25">
      <c r="A16" s="5">
        <v>12</v>
      </c>
      <c r="B16" s="5" t="s">
        <v>39</v>
      </c>
      <c r="C16" s="5" t="s">
        <v>40</v>
      </c>
      <c r="D16" s="5" t="s">
        <v>41</v>
      </c>
      <c r="E16" s="5" t="s">
        <v>15</v>
      </c>
      <c r="F16" s="6"/>
      <c r="G16" s="6"/>
      <c r="H16" s="7" t="str">
        <f t="shared" si="0"/>
        <v/>
      </c>
      <c r="I16" s="8" t="str">
        <f t="shared" si="1"/>
        <v>Not checked</v>
      </c>
    </row>
    <row r="17" spans="1:9" x14ac:dyDescent="0.25">
      <c r="A17" s="5">
        <v>13</v>
      </c>
      <c r="B17" s="5" t="s">
        <v>39</v>
      </c>
      <c r="C17" s="5" t="s">
        <v>42</v>
      </c>
      <c r="D17" s="5" t="s">
        <v>43</v>
      </c>
      <c r="E17" s="5" t="s">
        <v>15</v>
      </c>
      <c r="F17" s="6"/>
      <c r="G17" s="6"/>
      <c r="H17" s="7" t="str">
        <f t="shared" si="0"/>
        <v/>
      </c>
      <c r="I17" s="8" t="str">
        <f t="shared" si="1"/>
        <v>Not checked</v>
      </c>
    </row>
    <row r="18" spans="1:9" x14ac:dyDescent="0.25">
      <c r="A18" s="5">
        <v>14</v>
      </c>
      <c r="B18" s="5" t="s">
        <v>39</v>
      </c>
      <c r="C18" s="5" t="s">
        <v>44</v>
      </c>
      <c r="D18" s="5" t="s">
        <v>45</v>
      </c>
      <c r="E18" s="5" t="s">
        <v>15</v>
      </c>
      <c r="F18" s="6"/>
      <c r="G18" s="6"/>
      <c r="H18" s="7" t="str">
        <f t="shared" si="0"/>
        <v/>
      </c>
      <c r="I18" s="8" t="str">
        <f t="shared" si="1"/>
        <v>Not checked</v>
      </c>
    </row>
    <row r="19" spans="1:9" x14ac:dyDescent="0.25">
      <c r="A19" s="5">
        <v>15</v>
      </c>
      <c r="B19" s="5" t="s">
        <v>39</v>
      </c>
      <c r="C19" s="5" t="s">
        <v>46</v>
      </c>
      <c r="D19" s="5" t="s">
        <v>47</v>
      </c>
      <c r="E19" s="5" t="s">
        <v>15</v>
      </c>
      <c r="F19" s="6"/>
      <c r="G19" s="6"/>
      <c r="H19" s="7" t="str">
        <f t="shared" si="0"/>
        <v/>
      </c>
      <c r="I19" s="8" t="str">
        <f t="shared" si="1"/>
        <v>Not checked</v>
      </c>
    </row>
    <row r="20" spans="1:9" x14ac:dyDescent="0.25">
      <c r="A20" s="5">
        <v>16</v>
      </c>
      <c r="B20" s="5" t="s">
        <v>39</v>
      </c>
      <c r="C20" s="5" t="s">
        <v>48</v>
      </c>
      <c r="D20" s="5" t="s">
        <v>49</v>
      </c>
      <c r="E20" s="5" t="s">
        <v>15</v>
      </c>
      <c r="F20" s="6"/>
      <c r="G20" s="6"/>
      <c r="H20" s="7" t="str">
        <f t="shared" si="0"/>
        <v/>
      </c>
      <c r="I20" s="8" t="str">
        <f t="shared" si="1"/>
        <v>Not checked</v>
      </c>
    </row>
    <row r="21" spans="1:9" x14ac:dyDescent="0.25">
      <c r="A21" s="5">
        <v>17</v>
      </c>
      <c r="B21" s="5" t="s">
        <v>39</v>
      </c>
      <c r="C21" s="5" t="s">
        <v>50</v>
      </c>
      <c r="D21" s="5" t="s">
        <v>51</v>
      </c>
      <c r="E21" s="5" t="s">
        <v>15</v>
      </c>
      <c r="F21" s="6"/>
      <c r="G21" s="6"/>
      <c r="H21" s="7" t="str">
        <f t="shared" si="0"/>
        <v/>
      </c>
      <c r="I21" s="8" t="str">
        <f t="shared" si="1"/>
        <v>Not checked</v>
      </c>
    </row>
    <row r="22" spans="1:9" x14ac:dyDescent="0.25">
      <c r="A22" s="5">
        <v>18</v>
      </c>
      <c r="B22" s="5" t="s">
        <v>39</v>
      </c>
      <c r="C22" s="5" t="s">
        <v>52</v>
      </c>
      <c r="D22" s="5" t="s">
        <v>53</v>
      </c>
      <c r="E22" s="5" t="s">
        <v>54</v>
      </c>
      <c r="F22" s="6"/>
      <c r="G22" s="6"/>
      <c r="H22" s="7" t="str">
        <f t="shared" si="0"/>
        <v/>
      </c>
      <c r="I22" s="8" t="str">
        <f t="shared" si="1"/>
        <v>Not checked</v>
      </c>
    </row>
    <row r="23" spans="1:9" x14ac:dyDescent="0.25">
      <c r="A23" s="5">
        <v>19</v>
      </c>
      <c r="B23" s="5" t="s">
        <v>39</v>
      </c>
      <c r="C23" s="5" t="s">
        <v>55</v>
      </c>
      <c r="D23" s="5" t="s">
        <v>53</v>
      </c>
      <c r="E23" s="5" t="s">
        <v>54</v>
      </c>
      <c r="F23" s="6"/>
      <c r="G23" s="6"/>
      <c r="H23" s="7" t="str">
        <f t="shared" si="0"/>
        <v/>
      </c>
      <c r="I23" s="8" t="str">
        <f t="shared" si="1"/>
        <v>Not checked</v>
      </c>
    </row>
    <row r="24" spans="1:9" x14ac:dyDescent="0.25">
      <c r="A24" s="5">
        <v>20</v>
      </c>
      <c r="B24" s="5" t="s">
        <v>56</v>
      </c>
      <c r="C24" s="5" t="s">
        <v>57</v>
      </c>
      <c r="D24" s="5" t="s">
        <v>58</v>
      </c>
      <c r="E24" s="5" t="s">
        <v>15</v>
      </c>
      <c r="F24" s="6"/>
      <c r="G24" s="6"/>
      <c r="H24" s="7" t="str">
        <f t="shared" si="0"/>
        <v/>
      </c>
      <c r="I24" s="8" t="str">
        <f t="shared" si="1"/>
        <v>Not checked</v>
      </c>
    </row>
    <row r="25" spans="1:9" x14ac:dyDescent="0.25">
      <c r="A25" s="5">
        <v>21</v>
      </c>
      <c r="B25" s="5" t="s">
        <v>56</v>
      </c>
      <c r="C25" s="5" t="s">
        <v>59</v>
      </c>
      <c r="D25" s="5" t="s">
        <v>60</v>
      </c>
      <c r="E25" s="5" t="s">
        <v>15</v>
      </c>
      <c r="F25" s="6"/>
      <c r="G25" s="6"/>
      <c r="H25" s="7" t="str">
        <f t="shared" si="0"/>
        <v/>
      </c>
      <c r="I25" s="8" t="str">
        <f t="shared" si="1"/>
        <v>Not checked</v>
      </c>
    </row>
    <row r="26" spans="1:9" x14ac:dyDescent="0.25">
      <c r="A26" s="5">
        <v>22</v>
      </c>
      <c r="B26" s="5" t="s">
        <v>56</v>
      </c>
      <c r="C26" s="5" t="s">
        <v>61</v>
      </c>
      <c r="D26" s="5" t="s">
        <v>62</v>
      </c>
      <c r="E26" s="5" t="s">
        <v>15</v>
      </c>
      <c r="F26" s="6"/>
      <c r="G26" s="6"/>
      <c r="H26" s="7" t="str">
        <f t="shared" si="0"/>
        <v/>
      </c>
      <c r="I26" s="8" t="str">
        <f t="shared" si="1"/>
        <v>Not checked</v>
      </c>
    </row>
    <row r="27" spans="1:9" x14ac:dyDescent="0.25">
      <c r="A27" s="5">
        <v>23</v>
      </c>
      <c r="B27" s="5" t="s">
        <v>56</v>
      </c>
      <c r="C27" s="5" t="s">
        <v>63</v>
      </c>
      <c r="D27" s="5" t="s">
        <v>64</v>
      </c>
      <c r="E27" s="5" t="s">
        <v>15</v>
      </c>
      <c r="F27" s="6"/>
      <c r="G27" s="6"/>
      <c r="H27" s="7" t="str">
        <f t="shared" si="0"/>
        <v/>
      </c>
      <c r="I27" s="8" t="str">
        <f t="shared" si="1"/>
        <v>Not checked</v>
      </c>
    </row>
    <row r="28" spans="1:9" x14ac:dyDescent="0.25">
      <c r="A28" s="5">
        <v>24</v>
      </c>
      <c r="B28" s="5" t="s">
        <v>56</v>
      </c>
      <c r="C28" s="5" t="s">
        <v>65</v>
      </c>
      <c r="D28" s="5" t="s">
        <v>66</v>
      </c>
      <c r="E28" s="5" t="s">
        <v>15</v>
      </c>
      <c r="F28" s="6"/>
      <c r="G28" s="6"/>
      <c r="H28" s="7" t="str">
        <f t="shared" si="0"/>
        <v/>
      </c>
      <c r="I28" s="8" t="str">
        <f t="shared" si="1"/>
        <v>Not checked</v>
      </c>
    </row>
    <row r="29" spans="1:9" x14ac:dyDescent="0.25">
      <c r="A29" s="5">
        <v>25</v>
      </c>
      <c r="B29" s="5" t="s">
        <v>56</v>
      </c>
      <c r="C29" s="5" t="s">
        <v>67</v>
      </c>
      <c r="D29" s="5" t="s">
        <v>68</v>
      </c>
      <c r="E29" s="5" t="s">
        <v>69</v>
      </c>
      <c r="F29" s="6"/>
      <c r="G29" s="6"/>
      <c r="H29" s="7" t="str">
        <f t="shared" si="0"/>
        <v/>
      </c>
      <c r="I29" s="8" t="str">
        <f t="shared" si="1"/>
        <v>Not checked</v>
      </c>
    </row>
    <row r="30" spans="1:9" x14ac:dyDescent="0.25">
      <c r="A30" s="5">
        <v>26</v>
      </c>
      <c r="B30" s="5" t="s">
        <v>70</v>
      </c>
      <c r="C30" s="5" t="s">
        <v>71</v>
      </c>
      <c r="D30" s="5" t="s">
        <v>72</v>
      </c>
      <c r="E30" s="5" t="s">
        <v>15</v>
      </c>
      <c r="F30" s="6"/>
      <c r="G30" s="6"/>
      <c r="H30" s="7" t="str">
        <f t="shared" si="0"/>
        <v/>
      </c>
      <c r="I30" s="8" t="str">
        <f t="shared" si="1"/>
        <v>Not checked</v>
      </c>
    </row>
    <row r="31" spans="1:9" x14ac:dyDescent="0.25">
      <c r="A31" s="5">
        <v>27</v>
      </c>
      <c r="B31" s="5" t="s">
        <v>70</v>
      </c>
      <c r="C31" s="5" t="s">
        <v>73</v>
      </c>
      <c r="D31" s="5" t="s">
        <v>74</v>
      </c>
      <c r="E31" s="5" t="s">
        <v>15</v>
      </c>
      <c r="F31" s="6"/>
      <c r="G31" s="6"/>
      <c r="H31" s="7" t="str">
        <f t="shared" si="0"/>
        <v/>
      </c>
      <c r="I31" s="8" t="str">
        <f t="shared" si="1"/>
        <v>Not checked</v>
      </c>
    </row>
    <row r="32" spans="1:9" x14ac:dyDescent="0.25">
      <c r="A32" s="5">
        <v>28</v>
      </c>
      <c r="B32" s="5" t="s">
        <v>70</v>
      </c>
      <c r="C32" s="5" t="s">
        <v>75</v>
      </c>
      <c r="D32" s="5" t="s">
        <v>76</v>
      </c>
      <c r="E32" s="5" t="s">
        <v>15</v>
      </c>
      <c r="F32" s="6"/>
      <c r="G32" s="6"/>
      <c r="H32" s="7" t="str">
        <f t="shared" si="0"/>
        <v/>
      </c>
      <c r="I32" s="8" t="str">
        <f t="shared" si="1"/>
        <v>Not checked</v>
      </c>
    </row>
    <row r="33" spans="1:9" x14ac:dyDescent="0.25">
      <c r="A33" s="5">
        <v>29</v>
      </c>
      <c r="B33" s="5" t="s">
        <v>70</v>
      </c>
      <c r="C33" s="5" t="s">
        <v>77</v>
      </c>
      <c r="D33" s="5" t="s">
        <v>78</v>
      </c>
      <c r="E33" s="5" t="s">
        <v>15</v>
      </c>
      <c r="F33" s="6"/>
      <c r="G33" s="6"/>
      <c r="H33" s="7" t="str">
        <f t="shared" si="0"/>
        <v/>
      </c>
      <c r="I33" s="8" t="str">
        <f t="shared" si="1"/>
        <v>Not checked</v>
      </c>
    </row>
    <row r="34" spans="1:9" x14ac:dyDescent="0.25">
      <c r="A34" s="5">
        <v>30</v>
      </c>
      <c r="B34" s="5" t="s">
        <v>70</v>
      </c>
      <c r="C34" s="5" t="s">
        <v>79</v>
      </c>
      <c r="D34" s="5" t="s">
        <v>80</v>
      </c>
      <c r="E34" s="5" t="s">
        <v>15</v>
      </c>
      <c r="F34" s="6"/>
      <c r="G34" s="6"/>
      <c r="H34" s="7" t="str">
        <f t="shared" si="0"/>
        <v/>
      </c>
      <c r="I34" s="8" t="str">
        <f t="shared" si="1"/>
        <v>Not checked</v>
      </c>
    </row>
    <row r="35" spans="1:9" x14ac:dyDescent="0.25">
      <c r="A35" s="5">
        <v>31</v>
      </c>
      <c r="B35" s="5" t="s">
        <v>70</v>
      </c>
      <c r="C35" s="5" t="s">
        <v>81</v>
      </c>
      <c r="D35" s="5" t="s">
        <v>82</v>
      </c>
      <c r="E35" s="5" t="s">
        <v>83</v>
      </c>
      <c r="F35" s="6"/>
      <c r="G35" s="6"/>
      <c r="H35" s="7" t="str">
        <f t="shared" si="0"/>
        <v/>
      </c>
      <c r="I35" s="8" t="str">
        <f t="shared" si="1"/>
        <v>Not checked</v>
      </c>
    </row>
    <row r="36" spans="1:9" x14ac:dyDescent="0.25">
      <c r="A36" s="5">
        <v>32</v>
      </c>
      <c r="B36" s="5" t="s">
        <v>70</v>
      </c>
      <c r="C36" s="5" t="s">
        <v>84</v>
      </c>
      <c r="D36" s="5" t="s">
        <v>85</v>
      </c>
      <c r="E36" s="5" t="s">
        <v>83</v>
      </c>
      <c r="F36" s="6"/>
      <c r="G36" s="6"/>
      <c r="H36" s="7" t="str">
        <f t="shared" si="0"/>
        <v/>
      </c>
      <c r="I36" s="8" t="str">
        <f t="shared" si="1"/>
        <v>Not checked</v>
      </c>
    </row>
    <row r="38" spans="1:9" x14ac:dyDescent="0.25">
      <c r="A38" s="9" t="s">
        <v>86</v>
      </c>
    </row>
    <row r="39" spans="1:9" x14ac:dyDescent="0.25">
      <c r="B39" s="10" t="s">
        <v>87</v>
      </c>
      <c r="D39" s="1">
        <f>COUNTIF(I5:I36,"Match")</f>
        <v>0</v>
      </c>
    </row>
    <row r="40" spans="1:9" x14ac:dyDescent="0.25">
      <c r="B40" s="10" t="s">
        <v>88</v>
      </c>
      <c r="D40" s="1">
        <f>COUNTIF(I5:I36,"Check")</f>
        <v>0</v>
      </c>
    </row>
    <row r="41" spans="1:9" x14ac:dyDescent="0.25">
      <c r="B41" s="10" t="s">
        <v>89</v>
      </c>
      <c r="D41" s="1">
        <f>COUNTIF(I5:I36,"Not checked")</f>
        <v>32</v>
      </c>
    </row>
  </sheetData>
  <mergeCells count="1">
    <mergeCell ref="A1:C1"/>
  </mergeCells>
  <conditionalFormatting sqref="I5:I36">
    <cfRule type="expression" dxfId="1" priority="2">
      <formula>I5="Match"</formula>
    </cfRule>
    <cfRule type="expression" dxfId="0" priority="3">
      <formula>I5="Check"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Tejas Gajbhiye</cp:lastModifiedBy>
  <cp:revision>0</cp:revision>
  <dcterms:created xsi:type="dcterms:W3CDTF">2026-10-08T13:52:16Z</dcterms:created>
  <dcterms:modified xsi:type="dcterms:W3CDTF">2026-10-11T13:02:22Z</dcterms:modified>
  <dc:language>en-US</dc:language>
</cp:coreProperties>
</file>